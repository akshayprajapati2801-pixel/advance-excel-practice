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 practice\"/>
    </mc:Choice>
  </mc:AlternateContent>
  <xr:revisionPtr revIDLastSave="0" documentId="8_{B689F5E6-A65C-4514-A981-B119D13D869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Inputs!$E$18</definedName>
    <definedName name="CstHousingRate">Inputs!$F$19:$O$19</definedName>
    <definedName name="CstLivingDaily">Inputs!$F$14:$O$14</definedName>
    <definedName name="CstLivingLoose">Inputs!$F$15:$O$15</definedName>
    <definedName name="ModelYear">Inputs!$F$3:$O$3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Inputs!$F$9:$O$9</definedName>
    <definedName name="RevTouring">Inputs!$F$8:$O$8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2" l="1"/>
  <c r="R14" i="2"/>
  <c r="R9" i="2"/>
  <c r="F8" i="5" a="1"/>
  <c r="F8" i="5" s="1"/>
  <c r="F7" i="5" a="1"/>
  <c r="F7" i="5" s="1"/>
  <c r="D13" i="4"/>
  <c r="F3" i="2" l="1"/>
  <c r="G3" i="2" s="1"/>
  <c r="H3" i="2" s="1"/>
  <c r="I3" i="2" s="1"/>
  <c r="J3" i="2" s="1"/>
  <c r="K3" i="2" s="1"/>
  <c r="L3" i="2" s="1"/>
  <c r="M3" i="2" s="1"/>
  <c r="N3" i="2" s="1"/>
  <c r="O3" i="2" s="1"/>
  <c r="R8" i="2" l="1"/>
  <c r="F3" i="5"/>
  <c r="G3" i="5" s="1"/>
  <c r="H3" i="5" s="1"/>
  <c r="I3" i="5" s="1"/>
  <c r="J3" i="5" s="1"/>
  <c r="K3" i="5" s="1"/>
  <c r="L3" i="5" s="1"/>
  <c r="M3" i="5" s="1"/>
  <c r="N3" i="5" s="1"/>
  <c r="O3" i="5" s="1"/>
  <c r="F6" i="5" l="1" a="1"/>
  <c r="F6" i="5" l="1"/>
  <c r="F9" i="5" s="1"/>
  <c r="I9" i="5"/>
  <c r="M9" i="5"/>
  <c r="N9" i="5"/>
  <c r="L9" i="5"/>
  <c r="K9" i="5"/>
  <c r="J9" i="5"/>
  <c r="O9" i="5"/>
  <c r="G9" i="5"/>
  <c r="H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<sst xmlns="http://schemas.openxmlformats.org/spreadsheetml/2006/main" count="51" uniqueCount="39">
  <si>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</si>
  <si>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</si>
  <si>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</si>
  <si>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</si>
  <si>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</si>
  <si>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</si>
  <si>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</si>
  <si>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</si>
  <si>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</si>
  <si>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</si>
  <si>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</si>
  <si>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</si>
  <si>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</si>
  <si>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</si>
  <si>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</si>
  <si>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</si>
  <si>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</si>
  <si>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</si>
  <si>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</si>
  <si>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</si>
  <si>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</si>
  <si>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</si>
  <si>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</si>
  <si>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</si>
  <si>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</si>
  <si>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</si>
  <si>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</si>
  <si>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</si>
  <si>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</si>
  <si>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</si>
  <si>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</si>
  <si>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</si>
  <si>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</si>
  <si>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</si>
  <si>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</si>
  <si>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Choose your game show!</t>
  </si>
  <si>
    <t>Total</t>
  </si>
  <si>
    <t>REVENUE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</si>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</sst>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</cellStyleXfs>
  <cellXfs count="41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4">
      <alignment horizontal="center" vertical="center"/>
    </xf>
    <xf numFmtId="0" fontId="2" fillId="0" borderId="0" xfId="5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5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4" applyFont="1">
      <alignment horizontal="center" vertical="center"/>
    </xf>
    <xf numFmtId="164" fontId="1" fillId="2" borderId="1" xfId="4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6"/>
    <xf numFmtId="0" fontId="2" fillId="0" borderId="0" xfId="7"/>
    <xf numFmtId="37" fontId="1" fillId="5" borderId="1" xfId="8">
      <alignment horizontal="right" indent="1"/>
    </xf>
    <xf numFmtId="0" fontId="4" fillId="0" borderId="0" xfId="9">
      <alignment horizontal="left" indent="1"/>
    </xf>
    <xf numFmtId="0" fontId="2" fillId="0" borderId="0" xfId="10">
      <alignment horizontal="center"/>
    </xf>
    <xf numFmtId="9" fontId="0" fillId="0" borderId="0" xfId="0" applyNumberFormat="1"/>
    <xf numFmtId="165" fontId="1" fillId="5" borderId="1" xfId="11">
      <alignment horizontal="right" indent="1"/>
    </xf>
    <xf numFmtId="37" fontId="1" fillId="0" borderId="0" xfId="12"/>
    <xf numFmtId="37" fontId="1" fillId="0" borderId="11" xfId="12" applyBorder="1"/>
    <xf numFmtId="0" fontId="0" fillId="0" borderId="0" xfId="0" applyAlignment="1">
      <alignment horizontal="right"/>
    </xf>
    <xf numFmtId="37" fontId="1" fillId="6" borderId="1" xfId="8" applyFill="1" applyAlignment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5" fillId="0" borderId="0" xfId="1"/>
    <xf numFmtId="0" fontId="5" fillId="0" borderId="0" xfId="1" applyAlignment="1">
      <alignment horizontal="center"/>
    </xf>
    <xf numFmtId="0" fontId="5" fillId="3" borderId="0" xfId="1" applyFill="1" applyAlignment="1">
      <alignment horizontal="center"/>
    </xf>
    <xf numFmtId="0" fontId="5" fillId="0" borderId="0" xfId="1" applyAlignment="1">
      <alignment horizontal="left" indent="1"/>
    </xf>
    <xf numFmtId="0" fontId="5" fillId="0" borderId="0" xfId="1" applyAlignment="1">
      <alignment horizontal="right"/>
    </xf>
    <xf numFmtId="0" fontId="0" fillId="0" borderId="0" xfId="0" applyAlignment="1">
      <alignment horizontal="center"/>
    </xf>
    <xf numFmtId="0" fontId="2" fillId="0" borderId="0" xfId="3"/>
    <xf numFmtId="0" fontId="2" fillId="0" borderId="0" xfId="3" applyAlignment="1">
      <alignment horizontal="center"/>
    </xf>
    <xf numFmtId="37" fontId="5" fillId="5" borderId="1" xfId="1" applyNumberFormat="1" applyFill="1" applyBorder="1" applyAlignment="1">
      <alignment horizontal="right" indent="1"/>
    </xf>
    <xf numFmtId="37" fontId="5" fillId="6" borderId="1" xfId="1" applyNumberFormat="1" applyFill="1" applyBorder="1" applyAlignment="1"/>
    <xf numFmtId="0" fontId="5" fillId="0" borderId="0" xfId="2" applyAlignment="1">
      <alignment horizontal="left" indent="1"/>
    </xf>
  </cellXfs>
  <cellStyles count="13">
    <cellStyle name="CalcMoney" xfId="12" xr:uid="{00000000-0005-0000-0000-000000000000}"/>
    <cellStyle name="ColLevel_1" xfId="2" builtinId="2" iLevel="0"/>
    <cellStyle name="CoverCell" xfId="4" xr:uid="{00000000-0005-0000-0000-000001000000}"/>
    <cellStyle name="CoverLabel" xfId="5" xr:uid="{00000000-0005-0000-0000-000002000000}"/>
    <cellStyle name="InputMoney" xfId="8" xr:uid="{00000000-0005-0000-0000-000003000000}"/>
    <cellStyle name="InputPercent" xfId="11" xr:uid="{00000000-0005-0000-0000-000004000000}"/>
    <cellStyle name="LineItem" xfId="7" xr:uid="{00000000-0005-0000-0000-000005000000}"/>
    <cellStyle name="LineTitle" xfId="6" xr:uid="{00000000-0005-0000-0000-000006000000}"/>
    <cellStyle name="Normal" xfId="0" builtinId="0"/>
    <cellStyle name="RangeName" xfId="9" xr:uid="{00000000-0005-0000-0000-000008000000}"/>
    <cellStyle name="RowLevel_1" xfId="1" builtinId="1" iLevel="0"/>
    <cellStyle name="RowLevel_2" xfId="3" builtinId="1" iLevel="1"/>
    <cellStyle name="Units" xfId="10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1" sqref="D11"/>
    </sheetView>
  </sheetViews>
  <sheetFormatPr defaultColWidth="0" defaultRowHeight="14.4" zeroHeight="1" x14ac:dyDescent="0.3"/>
  <cols>
    <col min="1" max="1" width="4.109375" customWidth="1"/>
    <col min="2" max="2" width="3.44140625" customWidth="1"/>
    <col min="3" max="3" width="16.44140625" customWidth="1"/>
    <col min="4" max="4" width="29.88671875" customWidth="1"/>
    <col min="5" max="5" width="3.5546875" customWidth="1"/>
    <col min="6" max="6" width="5" customWidth="1"/>
    <col min="7" max="16384" width="9.109375" hidden="1"/>
  </cols>
  <sheetData>
    <row r="1" spans="2:5" ht="24.75" customHeight="1" thickBot="1" x14ac:dyDescent="0.35"/>
    <row r="2" spans="2:5" ht="9.75" customHeight="1" x14ac:dyDescent="0.3">
      <c r="B2" s="4"/>
      <c r="C2" s="5"/>
      <c r="D2" s="5"/>
      <c r="E2" s="6"/>
    </row>
    <row r="3" spans="2:5" ht="1.5" customHeight="1" x14ac:dyDescent="0.3">
      <c r="B3" s="7"/>
      <c r="E3" s="8"/>
    </row>
    <row r="4" spans="2:5" ht="9.75" customHeight="1" x14ac:dyDescent="0.3">
      <c r="B4" s="7"/>
      <c r="E4" s="8"/>
    </row>
    <row r="5" spans="2:5" ht="18.75" customHeight="1" x14ac:dyDescent="0.3">
      <c r="B5" s="7"/>
      <c r="C5" s="1" t="s">
        <v>5</v>
      </c>
      <c r="D5" s="13" t="s">
        <v>35</v>
      </c>
      <c r="E5" s="8"/>
    </row>
    <row r="6" spans="2:5" x14ac:dyDescent="0.3">
      <c r="B6" s="7"/>
      <c r="C6" s="1"/>
      <c r="E6" s="8"/>
    </row>
    <row r="7" spans="2:5" ht="20.25" customHeight="1" x14ac:dyDescent="0.3">
      <c r="B7" s="7"/>
      <c r="C7" s="1" t="s">
        <v>3</v>
      </c>
      <c r="D7" s="13" t="s">
        <v>4</v>
      </c>
      <c r="E7" s="8"/>
    </row>
    <row r="8" spans="2:5" x14ac:dyDescent="0.3">
      <c r="B8" s="7"/>
      <c r="E8" s="8"/>
    </row>
    <row r="9" spans="2:5" ht="18.75" customHeight="1" x14ac:dyDescent="0.3">
      <c r="B9" s="7"/>
      <c r="C9" s="3" t="s">
        <v>0</v>
      </c>
      <c r="D9" s="14">
        <v>1</v>
      </c>
      <c r="E9" s="8"/>
    </row>
    <row r="10" spans="2:5" x14ac:dyDescent="0.3">
      <c r="B10" s="7"/>
      <c r="C10" s="3"/>
      <c r="E10" s="8"/>
    </row>
    <row r="11" spans="2:5" ht="19.5" customHeight="1" x14ac:dyDescent="0.3">
      <c r="B11" s="7"/>
      <c r="C11" s="3" t="s">
        <v>1</v>
      </c>
      <c r="D11" s="2" t="s">
        <v>2</v>
      </c>
      <c r="E11" s="8"/>
    </row>
    <row r="12" spans="2:5" ht="15.75" customHeight="1" x14ac:dyDescent="0.3">
      <c r="B12" s="7"/>
      <c r="C12" s="3"/>
      <c r="E12" s="8"/>
    </row>
    <row r="13" spans="2:5" ht="19.5" customHeight="1" x14ac:dyDescent="0.3">
      <c r="B13" s="7"/>
      <c r="C13" s="3" t="s">
        <v>6</v>
      </c>
      <c r="D13" s="2">
        <f ca="1">YEAR(TODAY())</f>
        <v>2026</v>
      </c>
      <c r="E13" s="8"/>
    </row>
    <row r="14" spans="2:5" ht="15" thickBot="1" x14ac:dyDescent="0.35">
      <c r="B14" s="9"/>
      <c r="C14" s="10"/>
      <c r="D14" s="11"/>
      <c r="E14" s="12"/>
    </row>
    <row r="15" spans="2:5" ht="22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applyStyles="1" summaryBelow="0"/>
  </sheetPr>
  <dimension ref="A2:R19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Q3" sqref="Q3"/>
    </sheetView>
  </sheetViews>
  <sheetFormatPr defaultRowHeight="14.4" outlineLevelRow="2" outlineLevelCol="1" x14ac:dyDescent="0.3"/>
  <cols>
    <col min="2" max="2" width="20.44140625" style="17" customWidth="1"/>
    <col min="3" max="3" width="5.6640625" customWidth="1"/>
    <col min="4" max="4" width="9.109375" style="20"/>
    <col min="6" max="6" width="9.109375" customWidth="1" outlineLevel="1"/>
    <col min="7" max="15" width="8.88671875" customWidth="1" outlineLevel="1"/>
    <col min="16" max="16" width="15.5546875" style="40" bestFit="1" customWidth="1"/>
    <col min="17" max="17" width="8.33203125" customWidth="1"/>
  </cols>
  <sheetData>
    <row r="2" spans="1:18" x14ac:dyDescent="0.3">
      <c r="F2" s="27" t="s">
        <v>8</v>
      </c>
      <c r="G2" s="28"/>
      <c r="H2" s="28"/>
      <c r="I2" s="28"/>
      <c r="J2" s="28"/>
      <c r="K2" s="28"/>
      <c r="L2" s="28"/>
      <c r="M2" s="28"/>
      <c r="N2" s="28"/>
      <c r="O2" s="29"/>
    </row>
    <row r="3" spans="1:18" x14ac:dyDescent="0.3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40" t="s">
        <v>7</v>
      </c>
      <c r="R3" s="25" t="s">
        <v>36</v>
      </c>
    </row>
    <row r="4" spans="1:18" x14ac:dyDescent="0.3">
      <c r="B4"/>
      <c r="D4" s="35"/>
      <c r="F4" s="15"/>
      <c r="G4" s="15"/>
      <c r="H4" s="15"/>
      <c r="I4" s="15"/>
      <c r="J4" s="15"/>
      <c r="K4" s="15"/>
      <c r="L4" s="15"/>
      <c r="M4" s="15"/>
      <c r="N4" s="15"/>
      <c r="O4" s="15"/>
      <c r="R4" s="25"/>
    </row>
    <row r="5" spans="1:18" s="30" customFormat="1" collapsed="1" x14ac:dyDescent="0.3">
      <c r="A5" s="30" t="s">
        <v>37</v>
      </c>
      <c r="D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3"/>
      <c r="R5" s="34"/>
    </row>
    <row r="6" spans="1:18" ht="10.5" hidden="1" customHeight="1" outlineLevel="1" x14ac:dyDescent="0.3"/>
    <row r="7" spans="1:18" s="36" customFormat="1" hidden="1" outlineLevel="1" x14ac:dyDescent="0.3">
      <c r="A7" s="36" t="s">
        <v>10</v>
      </c>
      <c r="D7" s="37"/>
      <c r="P7" s="40"/>
    </row>
    <row r="8" spans="1:18" hidden="1" outlineLevel="2" x14ac:dyDescent="0.3">
      <c r="B8" s="17" t="s">
        <v>11</v>
      </c>
      <c r="D8" s="20" t="s">
        <v>12</v>
      </c>
      <c r="F8" s="18">
        <v>800</v>
      </c>
      <c r="G8" s="18">
        <v>600</v>
      </c>
      <c r="H8" s="18">
        <v>450</v>
      </c>
      <c r="I8" s="18">
        <v>337</v>
      </c>
      <c r="J8" s="18">
        <v>253</v>
      </c>
      <c r="K8" s="18">
        <v>190</v>
      </c>
      <c r="L8" s="18">
        <v>142</v>
      </c>
      <c r="M8" s="18">
        <v>106</v>
      </c>
      <c r="N8" s="18">
        <v>80</v>
      </c>
      <c r="O8" s="18">
        <v>60</v>
      </c>
      <c r="P8" s="40" t="s">
        <v>13</v>
      </c>
      <c r="R8" s="26">
        <f>SUM(RevTouring)</f>
        <v>3018</v>
      </c>
    </row>
    <row r="9" spans="1:18" hidden="1" outlineLevel="2" x14ac:dyDescent="0.3">
      <c r="B9" s="17" t="s">
        <v>14</v>
      </c>
      <c r="D9" s="20" t="s">
        <v>12</v>
      </c>
      <c r="F9" s="18">
        <v>900</v>
      </c>
      <c r="G9" s="18">
        <v>850</v>
      </c>
      <c r="H9" s="18">
        <v>800</v>
      </c>
      <c r="I9" s="18">
        <v>750</v>
      </c>
      <c r="J9" s="18">
        <v>700</v>
      </c>
      <c r="K9" s="18">
        <v>650</v>
      </c>
      <c r="L9" s="18">
        <v>600</v>
      </c>
      <c r="M9" s="18">
        <v>550</v>
      </c>
      <c r="N9" s="18">
        <v>500</v>
      </c>
      <c r="O9" s="18">
        <v>450</v>
      </c>
      <c r="P9" s="40" t="s">
        <v>15</v>
      </c>
      <c r="R9" s="26">
        <f>SUM(RevDownloads)</f>
        <v>6750</v>
      </c>
    </row>
    <row r="10" spans="1:18" x14ac:dyDescent="0.3">
      <c r="F10" s="18"/>
      <c r="G10" s="18"/>
      <c r="H10" s="18"/>
      <c r="I10" s="18"/>
      <c r="J10" s="18"/>
      <c r="K10" s="18"/>
      <c r="L10" s="18"/>
      <c r="M10" s="18"/>
      <c r="N10" s="18"/>
      <c r="O10" s="18"/>
      <c r="R10" s="26"/>
    </row>
    <row r="11" spans="1:18" s="30" customFormat="1" collapsed="1" x14ac:dyDescent="0.3">
      <c r="A11" s="30" t="s">
        <v>38</v>
      </c>
      <c r="D11" s="31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3"/>
      <c r="R11" s="39"/>
    </row>
    <row r="12" spans="1:18" hidden="1" outlineLevel="1" x14ac:dyDescent="0.3"/>
    <row r="13" spans="1:18" s="36" customFormat="1" hidden="1" outlineLevel="1" x14ac:dyDescent="0.3">
      <c r="A13" s="36" t="s">
        <v>18</v>
      </c>
      <c r="D13" s="37"/>
      <c r="P13" s="40"/>
    </row>
    <row r="14" spans="1:18" hidden="1" outlineLevel="2" x14ac:dyDescent="0.3">
      <c r="B14" s="17" t="s">
        <v>16</v>
      </c>
      <c r="D14" s="20" t="s">
        <v>12</v>
      </c>
      <c r="F14" s="18">
        <v>-300</v>
      </c>
      <c r="G14" s="18">
        <v>-300</v>
      </c>
      <c r="H14" s="18">
        <v>-300</v>
      </c>
      <c r="I14" s="18">
        <v>-300</v>
      </c>
      <c r="J14" s="18">
        <v>-300</v>
      </c>
      <c r="K14" s="18">
        <v>-300</v>
      </c>
      <c r="L14" s="18">
        <v>-300</v>
      </c>
      <c r="M14" s="18">
        <v>-300</v>
      </c>
      <c r="N14" s="18">
        <v>-300</v>
      </c>
      <c r="O14" s="18">
        <v>-300</v>
      </c>
      <c r="P14" s="40" t="s">
        <v>22</v>
      </c>
      <c r="R14" s="26">
        <f>SUM(CstLivingDaily)</f>
        <v>-3000</v>
      </c>
    </row>
    <row r="15" spans="1:18" hidden="1" outlineLevel="2" x14ac:dyDescent="0.3">
      <c r="B15" s="17" t="s">
        <v>17</v>
      </c>
      <c r="D15" s="20" t="s">
        <v>12</v>
      </c>
      <c r="F15" s="18">
        <v>-200</v>
      </c>
      <c r="G15" s="18">
        <v>-200</v>
      </c>
      <c r="H15" s="18">
        <v>-200</v>
      </c>
      <c r="I15" s="18">
        <v>-200</v>
      </c>
      <c r="J15" s="18">
        <v>-200</v>
      </c>
      <c r="K15" s="18">
        <v>-200</v>
      </c>
      <c r="L15" s="18">
        <v>-200</v>
      </c>
      <c r="M15" s="18">
        <v>-200</v>
      </c>
      <c r="N15" s="18">
        <v>-200</v>
      </c>
      <c r="O15" s="18">
        <v>-200</v>
      </c>
      <c r="P15" s="40" t="s">
        <v>23</v>
      </c>
      <c r="R15" s="26">
        <f>SUM(CstLivingLoose)</f>
        <v>-2000</v>
      </c>
    </row>
    <row r="16" spans="1:18" hidden="1" outlineLevel="1" x14ac:dyDescent="0.3"/>
    <row r="17" spans="1:16" s="36" customFormat="1" hidden="1" outlineLevel="1" x14ac:dyDescent="0.3">
      <c r="A17" s="36" t="s">
        <v>19</v>
      </c>
      <c r="D17" s="37"/>
      <c r="P17" s="40"/>
    </row>
    <row r="18" spans="1:16" hidden="1" outlineLevel="2" x14ac:dyDescent="0.3">
      <c r="B18" s="17" t="s">
        <v>20</v>
      </c>
      <c r="D18" s="20" t="s">
        <v>12</v>
      </c>
      <c r="E18" s="18">
        <v>-2000</v>
      </c>
      <c r="F18" s="19" t="s">
        <v>25</v>
      </c>
    </row>
    <row r="19" spans="1:16" hidden="1" outlineLevel="2" x14ac:dyDescent="0.3">
      <c r="B19" s="17" t="s">
        <v>24</v>
      </c>
      <c r="D19" s="20" t="s">
        <v>21</v>
      </c>
      <c r="F19" s="22">
        <v>0.04</v>
      </c>
      <c r="G19" s="22">
        <v>4.4999999999999998E-2</v>
      </c>
      <c r="H19" s="22">
        <v>0.05</v>
      </c>
      <c r="I19" s="22">
        <v>5.5E-2</v>
      </c>
      <c r="J19" s="22">
        <v>0.06</v>
      </c>
      <c r="K19" s="22">
        <v>6.5000000000000002E-2</v>
      </c>
      <c r="L19" s="22">
        <v>7.0000000000000007E-2</v>
      </c>
      <c r="M19" s="22">
        <v>7.4999999999999997E-2</v>
      </c>
      <c r="N19" s="22">
        <v>0.08</v>
      </c>
      <c r="O19" s="22">
        <v>8.5000000000000006E-2</v>
      </c>
      <c r="P19" s="40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1"/>
  <sheetViews>
    <sheetView tabSelected="1" workbookViewId="0">
      <selection activeCell="G6" sqref="G6:O8"/>
    </sheetView>
  </sheetViews>
  <sheetFormatPr defaultRowHeight="14.4" x14ac:dyDescent="0.3"/>
  <cols>
    <col min="2" max="2" width="14.44140625" style="17" bestFit="1" customWidth="1"/>
    <col min="4" max="4" width="9.109375" style="20"/>
    <col min="6" max="6" width="10.5546875" bestFit="1" customWidth="1"/>
    <col min="16" max="16" width="12.88671875" style="19" customWidth="1"/>
  </cols>
  <sheetData>
    <row r="2" spans="1:16" x14ac:dyDescent="0.3">
      <c r="F2" s="27" t="s">
        <v>8</v>
      </c>
      <c r="G2" s="28"/>
      <c r="H2" s="28"/>
      <c r="I2" s="28"/>
      <c r="J2" s="28"/>
      <c r="K2" s="28"/>
      <c r="L2" s="28"/>
      <c r="M2" s="28"/>
      <c r="N2" s="28"/>
      <c r="O2" s="29"/>
    </row>
    <row r="3" spans="1:16" x14ac:dyDescent="0.3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3"/>
    <row r="5" spans="1:16" x14ac:dyDescent="0.3">
      <c r="A5" s="16" t="s">
        <v>30</v>
      </c>
    </row>
    <row r="6" spans="1:16" x14ac:dyDescent="0.3">
      <c r="B6" s="17" t="s">
        <v>27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31</v>
      </c>
    </row>
    <row r="7" spans="1:16" x14ac:dyDescent="0.3">
      <c r="B7" s="17" t="s">
        <v>28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32</v>
      </c>
    </row>
    <row r="8" spans="1:16" x14ac:dyDescent="0.3">
      <c r="B8" s="17" t="s">
        <v>29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33</v>
      </c>
    </row>
    <row r="9" spans="1:16" x14ac:dyDescent="0.3">
      <c r="B9" s="17" t="s">
        <v>30</v>
      </c>
      <c r="D9" s="20" t="s">
        <v>12</v>
      </c>
      <c r="F9" s="24">
        <f>SUM(F6:F8)</f>
        <v>1120</v>
      </c>
      <c r="G9" s="24">
        <f t="shared" ref="G9:O9" si="1">SUM(G6:G8)</f>
        <v>860</v>
      </c>
      <c r="H9" s="24">
        <f t="shared" si="1"/>
        <v>650</v>
      </c>
      <c r="I9" s="24">
        <f t="shared" si="1"/>
        <v>477</v>
      </c>
      <c r="J9" s="24">
        <f t="shared" si="1"/>
        <v>333</v>
      </c>
      <c r="K9" s="24">
        <f t="shared" si="1"/>
        <v>210</v>
      </c>
      <c r="L9" s="24">
        <f t="shared" si="1"/>
        <v>102</v>
      </c>
      <c r="M9" s="24">
        <f t="shared" si="1"/>
        <v>6</v>
      </c>
      <c r="N9" s="24">
        <f t="shared" si="1"/>
        <v>-80</v>
      </c>
      <c r="O9" s="24">
        <f t="shared" si="1"/>
        <v>-160</v>
      </c>
      <c r="P9" s="19" t="s">
        <v>34</v>
      </c>
    </row>
    <row r="11" spans="1:16" x14ac:dyDescent="0.3">
      <c r="F11" s="21"/>
    </row>
  </sheetData>
  <mergeCells count="1">
    <mergeCell ref="F2:O2"/>
  </mergeCells>
  <conditionalFormatting sqref="F9:O9">
    <cfRule type="iconSet" priority="1">
      <iconSet iconSet="3Arrows">
        <cfvo type="percent" val="0"/>
        <cfvo type="num" val="0"/>
        <cfvo type="num" val="10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mamta prajapati</cp:lastModifiedBy>
  <dcterms:created xsi:type="dcterms:W3CDTF">2010-10-18T13:56:07Z</dcterms:created>
  <dcterms:modified xsi:type="dcterms:W3CDTF">2026-07-30T16:27:54Z</dcterms:modified>
</cp:coreProperties>
</file>